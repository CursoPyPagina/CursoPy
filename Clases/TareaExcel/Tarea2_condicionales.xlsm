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OneDrive\Documentos\Programación\Excel\CursoBasico\Tareas\"/>
    </mc:Choice>
  </mc:AlternateContent>
  <bookViews>
    <workbookView xWindow="0" yWindow="0" windowWidth="15360" windowHeight="7755" activeTab="1"/>
  </bookViews>
  <sheets>
    <sheet name="Presentación" sheetId="1" r:id="rId1"/>
    <sheet name="Ejercicio" sheetId="2" r:id="rId2"/>
    <sheet name="Solución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3" l="1"/>
  <c r="H14" i="3"/>
  <c r="K5" i="3"/>
  <c r="K6" i="3"/>
  <c r="K7" i="3"/>
  <c r="K8" i="3"/>
  <c r="K9" i="3"/>
  <c r="K10" i="3"/>
  <c r="K11" i="3"/>
  <c r="K12" i="3"/>
  <c r="K13" i="3"/>
  <c r="K14" i="3"/>
  <c r="K15" i="3"/>
  <c r="K4" i="3"/>
  <c r="J5" i="3"/>
  <c r="J6" i="3"/>
  <c r="J7" i="3"/>
  <c r="J8" i="3"/>
  <c r="J9" i="3"/>
  <c r="J10" i="3"/>
  <c r="J11" i="3"/>
  <c r="J12" i="3"/>
  <c r="J13" i="3"/>
  <c r="J14" i="3"/>
  <c r="J15" i="3"/>
  <c r="J4" i="3"/>
  <c r="I5" i="3"/>
  <c r="I6" i="3"/>
  <c r="I7" i="3"/>
  <c r="I8" i="3"/>
  <c r="I9" i="3"/>
  <c r="I10" i="3"/>
  <c r="I11" i="3"/>
  <c r="I12" i="3"/>
  <c r="I13" i="3"/>
  <c r="I14" i="3"/>
  <c r="I15" i="3"/>
  <c r="I4" i="3"/>
  <c r="H5" i="3"/>
  <c r="H6" i="3"/>
  <c r="H7" i="3"/>
  <c r="H8" i="3"/>
  <c r="H9" i="3"/>
  <c r="H10" i="3"/>
  <c r="H11" i="3"/>
  <c r="H12" i="3"/>
  <c r="H13" i="3"/>
  <c r="H15" i="3"/>
  <c r="H4" i="3"/>
  <c r="G15" i="3"/>
  <c r="G14" i="3"/>
  <c r="G13" i="3"/>
  <c r="G12" i="3"/>
  <c r="G11" i="3"/>
  <c r="G10" i="3"/>
  <c r="G9" i="3"/>
  <c r="G8" i="3"/>
  <c r="G7" i="3"/>
  <c r="G6" i="3"/>
  <c r="G5" i="3"/>
  <c r="G4" i="3"/>
  <c r="G5" i="2" l="1"/>
  <c r="G6" i="2"/>
  <c r="G7" i="2"/>
  <c r="G8" i="2"/>
  <c r="G9" i="2"/>
  <c r="G10" i="2"/>
  <c r="G11" i="2"/>
  <c r="G12" i="2"/>
  <c r="G13" i="2"/>
  <c r="G14" i="2"/>
  <c r="G15" i="2"/>
  <c r="G4" i="2"/>
</calcChain>
</file>

<file path=xl/sharedStrings.xml><?xml version="1.0" encoding="utf-8"?>
<sst xmlns="http://schemas.openxmlformats.org/spreadsheetml/2006/main" count="91" uniqueCount="37">
  <si>
    <t>ID</t>
  </si>
  <si>
    <t>Nombre</t>
  </si>
  <si>
    <t>Total</t>
  </si>
  <si>
    <t>Apellido</t>
  </si>
  <si>
    <t>Puesto</t>
  </si>
  <si>
    <t>Salario base</t>
  </si>
  <si>
    <t>Días trabajados</t>
  </si>
  <si>
    <t>Salario total</t>
  </si>
  <si>
    <t>Luis</t>
  </si>
  <si>
    <t>Ana</t>
  </si>
  <si>
    <t>Pedro</t>
  </si>
  <si>
    <t>Jorge</t>
  </si>
  <si>
    <t>Kendral</t>
  </si>
  <si>
    <t>José</t>
  </si>
  <si>
    <t>Alex</t>
  </si>
  <si>
    <t>Danna</t>
  </si>
  <si>
    <t>Alexa</t>
  </si>
  <si>
    <t>Andrea</t>
  </si>
  <si>
    <t>Lola</t>
  </si>
  <si>
    <t>Apaez</t>
  </si>
  <si>
    <t>Alvarez</t>
  </si>
  <si>
    <t>Sanchez</t>
  </si>
  <si>
    <t>Ramirez</t>
  </si>
  <si>
    <t>Lopez</t>
  </si>
  <si>
    <t>Perez</t>
  </si>
  <si>
    <t>Smith</t>
  </si>
  <si>
    <t>Santander</t>
  </si>
  <si>
    <t>Plata</t>
  </si>
  <si>
    <t>Secretaria</t>
  </si>
  <si>
    <t>Ingeniero</t>
  </si>
  <si>
    <t>Auxiliar almacén</t>
  </si>
  <si>
    <t>Gerente</t>
  </si>
  <si>
    <t>Intendente</t>
  </si>
  <si>
    <t>Tipo días</t>
  </si>
  <si>
    <t>Tipo salario</t>
  </si>
  <si>
    <t>Departamento</t>
  </si>
  <si>
    <t>Salario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</si>
</sst>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0" fillId="8" borderId="0" xfId="0" applyFill="1"/>
    <xf numFmtId="0" fontId="0" fillId="8" borderId="3" xfId="0" applyFill="1" applyBorder="1"/>
    <xf numFmtId="0" fontId="0" fillId="8" borderId="2" xfId="0" applyFill="1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0" borderId="4" xfId="0" applyBorder="1"/>
    <xf numFmtId="164" fontId="0" fillId="0" borderId="4" xfId="1" applyNumberFormat="1" applyFont="1" applyBorder="1" applyAlignment="1">
      <alignment horizontal="center"/>
    </xf>
    <xf numFmtId="0" fontId="2" fillId="10" borderId="4" xfId="0" applyFont="1" applyFill="1" applyBorder="1"/>
    <xf numFmtId="0" fontId="2" fillId="10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4" xfId="0" applyFill="1" applyBorder="1" applyAlignment="1">
      <alignment horizontal="center"/>
    </xf>
    <xf numFmtId="164" fontId="0" fillId="8" borderId="4" xfId="1" applyNumberFormat="1" applyFont="1" applyFill="1" applyBorder="1" applyAlignment="1">
      <alignment horizontal="center"/>
    </xf>
    <xf numFmtId="164" fontId="0" fillId="9" borderId="4" xfId="1" applyNumberFormat="1" applyFont="1" applyFill="1" applyBorder="1"/>
    <xf numFmtId="164" fontId="0" fillId="11" borderId="4" xfId="1" applyNumberFormat="1" applyFont="1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57150</xdr:rowOff>
    </xdr:from>
    <xdr:to>
      <xdr:col>2</xdr:col>
      <xdr:colOff>295275</xdr:colOff>
      <xdr:row>5</xdr:row>
      <xdr:rowOff>114300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247650"/>
          <a:ext cx="819150" cy="819150"/>
        </a:xfrm>
        <a:prstGeom prst="rect">
          <a:avLst/>
        </a:prstGeom>
      </xdr:spPr>
    </xdr:pic>
    <xdr:clientData/>
  </xdr:twoCellAnchor>
  <xdr:twoCellAnchor>
    <xdr:from>
      <xdr:col>2</xdr:col>
      <xdr:colOff>476249</xdr:colOff>
      <xdr:row>1</xdr:row>
      <xdr:rowOff>180976</xdr:rowOff>
    </xdr:from>
    <xdr:to>
      <xdr:col>9</xdr:col>
      <xdr:colOff>542924</xdr:colOff>
      <xdr:row>9</xdr:row>
      <xdr:rowOff>57150</xdr:rowOff>
    </xdr:to>
    <xdr:sp macro="" textlink="">
      <xdr:nvSpPr>
        <xdr:cNvPr id="4" name="CuadroTexto 3"/>
        <xdr:cNvSpPr txBox="1"/>
      </xdr:nvSpPr>
      <xdr:spPr>
        <a:xfrm>
          <a:off x="2000249" y="371476"/>
          <a:ext cx="5400675" cy="1400174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Cursos PyM</a:t>
          </a:r>
        </a:p>
        <a:p>
          <a:pPr algn="ctr"/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 de Excel:</a:t>
          </a:r>
          <a:r>
            <a:rPr lang="es-MX" sz="1100" b="1" i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</a:t>
          </a:r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básico a intermedio</a:t>
          </a:r>
        </a:p>
        <a:p>
          <a:pPr algn="ctr"/>
          <a:endParaRPr lang="es-MX" sz="1100" b="1" i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Autor: Luis Fernando Apáez</a:t>
          </a: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Marzo 2023</a:t>
          </a:r>
        </a:p>
      </xdr:txBody>
    </xdr:sp>
    <xdr:clientData/>
  </xdr:twoCellAnchor>
  <xdr:twoCellAnchor>
    <xdr:from>
      <xdr:col>0</xdr:col>
      <xdr:colOff>38099</xdr:colOff>
      <xdr:row>11</xdr:row>
      <xdr:rowOff>171449</xdr:rowOff>
    </xdr:from>
    <xdr:to>
      <xdr:col>9</xdr:col>
      <xdr:colOff>600074</xdr:colOff>
      <xdr:row>33</xdr:row>
      <xdr:rowOff>47624</xdr:rowOff>
    </xdr:to>
    <xdr:sp macro="" textlink="">
      <xdr:nvSpPr>
        <xdr:cNvPr id="6" name="CuadroTexto 5"/>
        <xdr:cNvSpPr txBox="1"/>
      </xdr:nvSpPr>
      <xdr:spPr>
        <a:xfrm>
          <a:off x="38099" y="2266949"/>
          <a:ext cx="7419975" cy="406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Instrucciones: </a:t>
          </a:r>
          <a:r>
            <a:rPr lang="es-MX" sz="1200" b="0"/>
            <a:t>De</a:t>
          </a:r>
          <a:r>
            <a:rPr lang="es-MX" sz="1200" b="0" baseline="0"/>
            <a:t> acuerdo a los ejercicios que mencionamos líneas abajo, escribe la correspondiente solución en la hoja </a:t>
          </a:r>
          <a:r>
            <a:rPr lang="es-MX" sz="1200" b="1" baseline="0"/>
            <a:t>Ejercicio</a:t>
          </a:r>
          <a:r>
            <a:rPr lang="es-MX" sz="1200" b="0" baseline="0"/>
            <a:t>.</a:t>
          </a:r>
        </a:p>
        <a:p>
          <a:r>
            <a:rPr lang="es-MX" sz="1200" b="0" baseline="0"/>
            <a:t>Ejercicios:</a:t>
          </a:r>
        </a:p>
        <a:p>
          <a:r>
            <a:rPr lang="es-MX" sz="1200" b="0" baseline="0"/>
            <a:t>1. En la hoja </a:t>
          </a:r>
          <a:r>
            <a:rPr lang="es-MX" sz="1200" b="1" baseline="0"/>
            <a:t>Ejercicio </a:t>
          </a:r>
          <a:r>
            <a:rPr lang="es-MX" sz="1200" b="0" baseline="0"/>
            <a:t>encontrarás una tabla. Inicialmente, deberás agregar una columna nueva denominada </a:t>
          </a:r>
          <a:r>
            <a:rPr lang="es-MX" sz="1200" b="0" i="1" baseline="0"/>
            <a:t>Tipo días </a:t>
          </a:r>
          <a:r>
            <a:rPr lang="es-MX" sz="1200" b="0" i="0" baseline="0"/>
            <a:t>en la cual se escriba </a:t>
          </a:r>
          <a:r>
            <a:rPr lang="es-MX" sz="1200" b="0" i="1" baseline="0"/>
            <a:t>Cumplido </a:t>
          </a:r>
          <a:r>
            <a:rPr lang="es-MX" sz="1200" b="0" i="0" baseline="0"/>
            <a:t>o </a:t>
          </a:r>
          <a:r>
            <a:rPr lang="es-MX" sz="1200" b="0" i="1" baseline="0"/>
            <a:t>No cumplido</a:t>
          </a:r>
          <a:r>
            <a:rPr lang="es-MX" sz="1200" b="0" i="0" baseline="0"/>
            <a:t> según sea el caso. Para ello deberás implementar un condicional sobre la columna </a:t>
          </a:r>
          <a:r>
            <a:rPr lang="es-MX" sz="1200" b="0" i="1" baseline="0"/>
            <a:t>Días trabajados</a:t>
          </a:r>
          <a:r>
            <a:rPr lang="es-MX" sz="1200" b="0" i="0" baseline="0"/>
            <a:t>, donde el empleado que haya trabajado más de 21 días habrá cumplido con su labor, caso contrario, el empleado no habrá cumplido con su labor.</a:t>
          </a:r>
        </a:p>
        <a:p>
          <a:r>
            <a:rPr lang="es-MX" sz="1200" b="0" i="0" baseline="0"/>
            <a:t>2. En esa misma tabla, agrega una columna más denominada </a:t>
          </a:r>
          <a:r>
            <a:rPr lang="es-MX" sz="1200" b="0" i="1" baseline="0"/>
            <a:t>Tipo salario </a:t>
          </a:r>
          <a:r>
            <a:rPr lang="es-MX" sz="1200" b="0" i="0" baseline="0"/>
            <a:t>la cual deberá contener la siguiente información:</a:t>
          </a:r>
        </a:p>
        <a:p>
          <a:r>
            <a:rPr lang="es-MX" sz="1200" b="0" i="0" baseline="0"/>
            <a:t>	* Si el </a:t>
          </a:r>
          <a:r>
            <a:rPr lang="es-MX" sz="1200" b="0" i="0" u="sng" baseline="0"/>
            <a:t>salario total </a:t>
          </a:r>
          <a:r>
            <a:rPr lang="es-MX" sz="1200" b="0" i="0" u="none" baseline="0"/>
            <a:t>es menor o igual 40000, entonces el tipo de salario es </a:t>
          </a:r>
          <a:r>
            <a:rPr lang="es-MX" sz="1200" b="1" i="0" u="none" baseline="0"/>
            <a:t>bajo</a:t>
          </a:r>
          <a:r>
            <a:rPr lang="es-MX" sz="1200" b="0" i="0" u="none" baseline="0"/>
            <a:t>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200" b="0" i="0" u="none" baseline="0"/>
            <a:t>	*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 el </a:t>
          </a:r>
          <a:r>
            <a:rPr lang="es-MX" sz="11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salario total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menor o igual 100000, entonces el tipo de salario es 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moderado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>
              <a:effectLst/>
            </a:rPr>
            <a:t>	*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 el </a:t>
          </a:r>
          <a:r>
            <a:rPr lang="es-MX" sz="11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salario total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mayor a 100000, entonces el tipo de salario es 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alto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Crea una nueva columna denominada </a:t>
          </a:r>
          <a:r>
            <a:rPr lang="es-MX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Departamento.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 gerente y las secretarias corresponden al departamento de oficina y el resto pertenece al departamento de almacén.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A los empleados de almacén se les dará un bono de productividad de $5000, pero solo a aquelos que hayan trabajado más de 20 días. De tal manera, agrega una columna nueva denominada </a:t>
          </a:r>
          <a:r>
            <a:rPr lang="es-MX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Salario final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donde se contemple este bono para las personas que cumplan con dichos requisitos. Si una persona no es de almacén y no tiene más de 20 días trabajados, el valor que se debe mostrar en </a:t>
          </a:r>
          <a:r>
            <a:rPr lang="es-MX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Salario final 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será exactamente el mismo valor que se muestra en </a:t>
          </a:r>
          <a:r>
            <a:rPr lang="es-MX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Salario total</a:t>
          </a: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MX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MX">
            <a:effectLst/>
          </a:endParaRPr>
        </a:p>
        <a:p>
          <a:endParaRPr lang="es-MX" sz="1100" b="1" i="1" u="sng"/>
        </a:p>
      </xdr:txBody>
    </xdr:sp>
    <xdr:clientData/>
  </xdr:twoCellAnchor>
  <xdr:twoCellAnchor editAs="oneCell">
    <xdr:from>
      <xdr:col>10</xdr:col>
      <xdr:colOff>123825</xdr:colOff>
      <xdr:row>1</xdr:row>
      <xdr:rowOff>9525</xdr:rowOff>
    </xdr:from>
    <xdr:to>
      <xdr:col>11</xdr:col>
      <xdr:colOff>190498</xdr:colOff>
      <xdr:row>5</xdr:row>
      <xdr:rowOff>76198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200025"/>
          <a:ext cx="828673" cy="828673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12</xdr:row>
      <xdr:rowOff>95250</xdr:rowOff>
    </xdr:from>
    <xdr:to>
      <xdr:col>10</xdr:col>
      <xdr:colOff>381000</xdr:colOff>
      <xdr:row>14</xdr:row>
      <xdr:rowOff>152400</xdr:rowOff>
    </xdr:to>
    <xdr:sp macro="" textlink="">
      <xdr:nvSpPr>
        <xdr:cNvPr id="11" name="Flecha abajo 10"/>
        <xdr:cNvSpPr/>
      </xdr:nvSpPr>
      <xdr:spPr>
        <a:xfrm>
          <a:off x="7734300" y="23812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15</xdr:row>
      <xdr:rowOff>85725</xdr:rowOff>
    </xdr:from>
    <xdr:to>
      <xdr:col>10</xdr:col>
      <xdr:colOff>390525</xdr:colOff>
      <xdr:row>17</xdr:row>
      <xdr:rowOff>142875</xdr:rowOff>
    </xdr:to>
    <xdr:sp macro="" textlink="">
      <xdr:nvSpPr>
        <xdr:cNvPr id="15" name="Flecha abajo 14"/>
        <xdr:cNvSpPr/>
      </xdr:nvSpPr>
      <xdr:spPr>
        <a:xfrm>
          <a:off x="7743825" y="294322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18</xdr:row>
      <xdr:rowOff>66675</xdr:rowOff>
    </xdr:from>
    <xdr:to>
      <xdr:col>10</xdr:col>
      <xdr:colOff>390525</xdr:colOff>
      <xdr:row>20</xdr:row>
      <xdr:rowOff>123825</xdr:rowOff>
    </xdr:to>
    <xdr:sp macro="" textlink="">
      <xdr:nvSpPr>
        <xdr:cNvPr id="16" name="Flecha abajo 15"/>
        <xdr:cNvSpPr/>
      </xdr:nvSpPr>
      <xdr:spPr>
        <a:xfrm>
          <a:off x="7743825" y="34956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21</xdr:row>
      <xdr:rowOff>38100</xdr:rowOff>
    </xdr:from>
    <xdr:to>
      <xdr:col>10</xdr:col>
      <xdr:colOff>390525</xdr:colOff>
      <xdr:row>23</xdr:row>
      <xdr:rowOff>95250</xdr:rowOff>
    </xdr:to>
    <xdr:sp macro="" textlink="">
      <xdr:nvSpPr>
        <xdr:cNvPr id="17" name="Flecha abajo 16"/>
        <xdr:cNvSpPr/>
      </xdr:nvSpPr>
      <xdr:spPr>
        <a:xfrm>
          <a:off x="7743825" y="40386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24</xdr:row>
      <xdr:rowOff>0</xdr:rowOff>
    </xdr:from>
    <xdr:to>
      <xdr:col>10</xdr:col>
      <xdr:colOff>390525</xdr:colOff>
      <xdr:row>26</xdr:row>
      <xdr:rowOff>57150</xdr:rowOff>
    </xdr:to>
    <xdr:sp macro="" textlink="">
      <xdr:nvSpPr>
        <xdr:cNvPr id="12" name="Flecha abajo 11"/>
        <xdr:cNvSpPr/>
      </xdr:nvSpPr>
      <xdr:spPr>
        <a:xfrm>
          <a:off x="7743825" y="45720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133350</xdr:colOff>
      <xdr:row>26</xdr:row>
      <xdr:rowOff>142875</xdr:rowOff>
    </xdr:from>
    <xdr:to>
      <xdr:col>10</xdr:col>
      <xdr:colOff>400050</xdr:colOff>
      <xdr:row>29</xdr:row>
      <xdr:rowOff>9525</xdr:rowOff>
    </xdr:to>
    <xdr:sp macro="" textlink="">
      <xdr:nvSpPr>
        <xdr:cNvPr id="13" name="Flecha abajo 12"/>
        <xdr:cNvSpPr/>
      </xdr:nvSpPr>
      <xdr:spPr>
        <a:xfrm>
          <a:off x="7753350" y="50958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16</xdr:row>
      <xdr:rowOff>47624</xdr:rowOff>
    </xdr:from>
    <xdr:to>
      <xdr:col>4</xdr:col>
      <xdr:colOff>733425</xdr:colOff>
      <xdr:row>24</xdr:row>
      <xdr:rowOff>171450</xdr:rowOff>
    </xdr:to>
    <xdr:sp macro="" textlink="">
      <xdr:nvSpPr>
        <xdr:cNvPr id="2" name="CuadroTexto 1"/>
        <xdr:cNvSpPr txBox="1"/>
      </xdr:nvSpPr>
      <xdr:spPr>
        <a:xfrm>
          <a:off x="85725" y="3095624"/>
          <a:ext cx="3114675" cy="16478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Una vez que termines tu tabla</a:t>
          </a:r>
          <a:r>
            <a:rPr lang="es-MX" sz="1100" baseline="0"/>
            <a:t> puedes comparar tus respuestas con la </a:t>
          </a:r>
          <a:r>
            <a:rPr lang="es-MX" sz="1100" i="1" baseline="0"/>
            <a:t>tabla solución</a:t>
          </a:r>
          <a:r>
            <a:rPr lang="es-MX" sz="1100" i="0" baseline="0"/>
            <a:t>, para ello, pulsa el siguiente botón:</a:t>
          </a:r>
          <a:endParaRPr lang="es-MX" sz="1100" i="1"/>
        </a:p>
      </xdr:txBody>
    </xdr:sp>
    <xdr:clientData/>
  </xdr:twoCellAnchor>
  <xdr:twoCellAnchor editAs="oneCell">
    <xdr:from>
      <xdr:col>2</xdr:col>
      <xdr:colOff>266700</xdr:colOff>
      <xdr:row>19</xdr:row>
      <xdr:rowOff>114300</xdr:rowOff>
    </xdr:from>
    <xdr:to>
      <xdr:col>3</xdr:col>
      <xdr:colOff>562506</xdr:colOff>
      <xdr:row>24</xdr:row>
      <xdr:rowOff>124356</xdr:rowOff>
    </xdr:to>
    <xdr:pic macro="[0]!Mostrar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" y="3733800"/>
          <a:ext cx="962556" cy="9625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M23"/>
  <sheetViews>
    <sheetView showGridLines="0" topLeftCell="A13" workbookViewId="0">
      <selection activeCell="L15" sqref="L15"/>
    </sheetView>
  </sheetViews>
  <sheetFormatPr baseColWidth="10" defaultRowHeight="15" x14ac:dyDescent="0.25"/>
  <sheetData>
    <row r="1" spans="1:13" x14ac:dyDescent="0.25">
      <c r="A1" s="8"/>
      <c r="B1" s="1"/>
      <c r="C1" s="1"/>
      <c r="D1" s="8"/>
      <c r="E1" s="8"/>
      <c r="F1" s="8"/>
      <c r="G1" s="3"/>
      <c r="H1" s="3"/>
      <c r="I1" s="8"/>
      <c r="J1" s="3"/>
      <c r="K1" s="3"/>
      <c r="L1" s="8"/>
      <c r="M1" s="8"/>
    </row>
    <row r="2" spans="1:13" x14ac:dyDescent="0.25">
      <c r="A2" s="8"/>
      <c r="B2" s="1"/>
      <c r="C2" s="1"/>
      <c r="D2" s="6"/>
      <c r="E2" s="6"/>
      <c r="F2" s="8"/>
      <c r="G2" s="3"/>
      <c r="H2" s="3"/>
      <c r="I2" s="8"/>
      <c r="J2" s="3"/>
      <c r="K2" s="3"/>
      <c r="L2" s="8"/>
      <c r="M2" s="9"/>
    </row>
    <row r="3" spans="1:13" x14ac:dyDescent="0.25">
      <c r="A3" s="8"/>
      <c r="B3" s="1"/>
      <c r="C3" s="1"/>
      <c r="J3" s="3"/>
      <c r="K3" s="3"/>
      <c r="L3" s="8"/>
      <c r="M3" s="9"/>
    </row>
    <row r="4" spans="1:13" x14ac:dyDescent="0.25">
      <c r="A4" s="8"/>
      <c r="B4" s="1"/>
      <c r="C4" s="1"/>
      <c r="J4" s="3"/>
      <c r="K4" s="3"/>
      <c r="L4" s="8"/>
      <c r="M4" s="9"/>
    </row>
    <row r="5" spans="1:13" x14ac:dyDescent="0.25">
      <c r="A5" s="8"/>
      <c r="B5" s="1"/>
      <c r="C5" s="1"/>
      <c r="J5" s="3"/>
      <c r="K5" s="3"/>
      <c r="L5" s="8"/>
      <c r="M5" s="9"/>
    </row>
    <row r="6" spans="1:13" x14ac:dyDescent="0.25">
      <c r="A6" s="8"/>
      <c r="B6" s="1"/>
      <c r="C6" s="1"/>
      <c r="J6" s="3"/>
      <c r="K6" s="3"/>
      <c r="L6" s="8"/>
      <c r="M6" s="9"/>
    </row>
    <row r="7" spans="1:13" x14ac:dyDescent="0.25">
      <c r="A7" s="8"/>
      <c r="B7" s="1"/>
      <c r="C7" s="1"/>
      <c r="J7" s="3"/>
      <c r="K7" s="3"/>
      <c r="L7" s="8"/>
      <c r="M7" s="9"/>
    </row>
    <row r="8" spans="1:13" x14ac:dyDescent="0.25">
      <c r="A8" s="2"/>
      <c r="B8" s="1"/>
      <c r="C8" s="1"/>
      <c r="J8" s="3"/>
      <c r="K8" s="3"/>
      <c r="L8" s="5"/>
      <c r="M8" s="9"/>
    </row>
    <row r="9" spans="1:13" x14ac:dyDescent="0.25">
      <c r="A9" s="2"/>
      <c r="B9" s="1"/>
      <c r="C9" s="1"/>
      <c r="J9" s="3"/>
      <c r="K9" s="3"/>
      <c r="L9" s="5"/>
      <c r="M9" s="9"/>
    </row>
    <row r="10" spans="1:13" x14ac:dyDescent="0.25">
      <c r="A10" s="2"/>
      <c r="B10" s="2"/>
      <c r="C10" s="8"/>
      <c r="D10" s="8"/>
      <c r="E10" s="4"/>
      <c r="F10" s="4"/>
      <c r="G10" s="4"/>
      <c r="H10" s="4"/>
      <c r="I10" s="8"/>
      <c r="J10" s="8"/>
      <c r="K10" s="5"/>
      <c r="L10" s="5"/>
      <c r="M10" s="9"/>
    </row>
    <row r="11" spans="1:13" x14ac:dyDescent="0.25">
      <c r="A11" s="2"/>
      <c r="B11" s="2"/>
      <c r="C11" s="8"/>
      <c r="D11" s="8"/>
      <c r="E11" s="4"/>
      <c r="F11" s="4"/>
      <c r="G11" s="4"/>
      <c r="H11" s="4"/>
      <c r="I11" s="8"/>
      <c r="J11" s="8"/>
      <c r="K11" s="5"/>
      <c r="L11" s="5"/>
      <c r="M11" s="10"/>
    </row>
    <row r="12" spans="1:13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23" spans="12:12" x14ac:dyDescent="0.25">
      <c r="L2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G15"/>
  <sheetViews>
    <sheetView tabSelected="1" workbookViewId="0">
      <selection activeCell="J15" sqref="J15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10" bestFit="1" customWidth="1"/>
    <col min="4" max="4" width="15.7109375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14.28515625" customWidth="1"/>
    <col min="9" max="9" width="14.140625" customWidth="1"/>
    <col min="10" max="10" width="11.42578125" customWidth="1"/>
  </cols>
  <sheetData>
    <row r="3" spans="1:7" x14ac:dyDescent="0.25">
      <c r="A3" s="16" t="s">
        <v>0</v>
      </c>
      <c r="B3" s="17" t="s">
        <v>1</v>
      </c>
      <c r="C3" s="17" t="s">
        <v>3</v>
      </c>
      <c r="D3" s="17" t="s">
        <v>4</v>
      </c>
      <c r="E3" s="17" t="s">
        <v>5</v>
      </c>
      <c r="F3" s="17" t="s">
        <v>6</v>
      </c>
      <c r="G3" s="17" t="s">
        <v>7</v>
      </c>
    </row>
    <row r="4" spans="1:7" x14ac:dyDescent="0.25">
      <c r="A4" s="18">
        <v>1</v>
      </c>
      <c r="B4" s="19" t="s">
        <v>8</v>
      </c>
      <c r="C4" s="19" t="s">
        <v>19</v>
      </c>
      <c r="D4" s="19" t="s">
        <v>32</v>
      </c>
      <c r="E4" s="20">
        <v>2000</v>
      </c>
      <c r="F4" s="19">
        <v>20</v>
      </c>
      <c r="G4" s="20">
        <f>E4*F4</f>
        <v>40000</v>
      </c>
    </row>
    <row r="5" spans="1:7" x14ac:dyDescent="0.25">
      <c r="A5" s="14">
        <v>2</v>
      </c>
      <c r="B5" s="12" t="s">
        <v>9</v>
      </c>
      <c r="C5" s="12" t="s">
        <v>20</v>
      </c>
      <c r="D5" s="12" t="s">
        <v>28</v>
      </c>
      <c r="E5" s="15">
        <v>2500</v>
      </c>
      <c r="F5" s="12">
        <v>15</v>
      </c>
      <c r="G5" s="15">
        <f t="shared" ref="G5:G15" si="0">E5*F5</f>
        <v>37500</v>
      </c>
    </row>
    <row r="6" spans="1:7" x14ac:dyDescent="0.25">
      <c r="A6" s="18">
        <v>3</v>
      </c>
      <c r="B6" s="19" t="s">
        <v>10</v>
      </c>
      <c r="C6" s="19" t="s">
        <v>21</v>
      </c>
      <c r="D6" s="19" t="s">
        <v>29</v>
      </c>
      <c r="E6" s="20">
        <v>3000</v>
      </c>
      <c r="F6" s="19">
        <v>30</v>
      </c>
      <c r="G6" s="20">
        <f t="shared" si="0"/>
        <v>90000</v>
      </c>
    </row>
    <row r="7" spans="1:7" x14ac:dyDescent="0.25">
      <c r="A7" s="14">
        <v>4</v>
      </c>
      <c r="B7" s="12" t="s">
        <v>11</v>
      </c>
      <c r="C7" s="12" t="s">
        <v>22</v>
      </c>
      <c r="D7" s="12" t="s">
        <v>30</v>
      </c>
      <c r="E7" s="15">
        <v>3500</v>
      </c>
      <c r="F7" s="12">
        <v>31</v>
      </c>
      <c r="G7" s="15">
        <f t="shared" si="0"/>
        <v>108500</v>
      </c>
    </row>
    <row r="8" spans="1:7" x14ac:dyDescent="0.25">
      <c r="A8" s="18">
        <v>5</v>
      </c>
      <c r="B8" s="19" t="s">
        <v>8</v>
      </c>
      <c r="C8" s="19" t="s">
        <v>23</v>
      </c>
      <c r="D8" s="12" t="s">
        <v>30</v>
      </c>
      <c r="E8" s="20">
        <v>4000</v>
      </c>
      <c r="F8" s="19">
        <v>20</v>
      </c>
      <c r="G8" s="20">
        <f t="shared" si="0"/>
        <v>80000</v>
      </c>
    </row>
    <row r="9" spans="1:7" x14ac:dyDescent="0.25">
      <c r="A9" s="14">
        <v>6</v>
      </c>
      <c r="B9" s="12" t="s">
        <v>12</v>
      </c>
      <c r="C9" s="12" t="s">
        <v>24</v>
      </c>
      <c r="D9" s="12" t="s">
        <v>29</v>
      </c>
      <c r="E9" s="15">
        <v>4500</v>
      </c>
      <c r="F9" s="12">
        <v>15</v>
      </c>
      <c r="G9" s="15">
        <f t="shared" si="0"/>
        <v>67500</v>
      </c>
    </row>
    <row r="10" spans="1:7" x14ac:dyDescent="0.25">
      <c r="A10" s="18">
        <v>7</v>
      </c>
      <c r="B10" s="19" t="s">
        <v>13</v>
      </c>
      <c r="C10" s="19" t="s">
        <v>24</v>
      </c>
      <c r="D10" s="19" t="s">
        <v>32</v>
      </c>
      <c r="E10" s="20">
        <v>5000</v>
      </c>
      <c r="F10" s="19">
        <v>14</v>
      </c>
      <c r="G10" s="20">
        <f t="shared" si="0"/>
        <v>70000</v>
      </c>
    </row>
    <row r="11" spans="1:7" x14ac:dyDescent="0.25">
      <c r="A11" s="14">
        <v>8</v>
      </c>
      <c r="B11" s="12" t="s">
        <v>14</v>
      </c>
      <c r="C11" s="12" t="s">
        <v>25</v>
      </c>
      <c r="D11" s="12" t="s">
        <v>29</v>
      </c>
      <c r="E11" s="15">
        <v>5500</v>
      </c>
      <c r="F11" s="12">
        <v>7</v>
      </c>
      <c r="G11" s="15">
        <f t="shared" si="0"/>
        <v>38500</v>
      </c>
    </row>
    <row r="12" spans="1:7" x14ac:dyDescent="0.25">
      <c r="A12" s="18">
        <v>9</v>
      </c>
      <c r="B12" s="19" t="s">
        <v>15</v>
      </c>
      <c r="C12" s="19" t="s">
        <v>26</v>
      </c>
      <c r="D12" s="19" t="s">
        <v>28</v>
      </c>
      <c r="E12" s="20">
        <v>6000</v>
      </c>
      <c r="F12" s="19">
        <v>18</v>
      </c>
      <c r="G12" s="20">
        <f t="shared" si="0"/>
        <v>108000</v>
      </c>
    </row>
    <row r="13" spans="1:7" x14ac:dyDescent="0.25">
      <c r="A13" s="14">
        <v>10</v>
      </c>
      <c r="B13" s="12" t="s">
        <v>16</v>
      </c>
      <c r="C13" s="12" t="s">
        <v>27</v>
      </c>
      <c r="D13" s="12" t="s">
        <v>30</v>
      </c>
      <c r="E13" s="15">
        <v>6500</v>
      </c>
      <c r="F13" s="12">
        <v>24</v>
      </c>
      <c r="G13" s="15">
        <f t="shared" si="0"/>
        <v>156000</v>
      </c>
    </row>
    <row r="14" spans="1:7" x14ac:dyDescent="0.25">
      <c r="A14" s="18">
        <v>11</v>
      </c>
      <c r="B14" s="19" t="s">
        <v>17</v>
      </c>
      <c r="C14" s="19" t="s">
        <v>27</v>
      </c>
      <c r="D14" s="19" t="s">
        <v>31</v>
      </c>
      <c r="E14" s="20">
        <v>7000</v>
      </c>
      <c r="F14" s="19">
        <v>31</v>
      </c>
      <c r="G14" s="20">
        <f t="shared" si="0"/>
        <v>217000</v>
      </c>
    </row>
    <row r="15" spans="1:7" x14ac:dyDescent="0.25">
      <c r="A15" s="14">
        <v>12</v>
      </c>
      <c r="B15" s="12" t="s">
        <v>18</v>
      </c>
      <c r="C15" s="12" t="s">
        <v>25</v>
      </c>
      <c r="D15" s="12" t="s">
        <v>29</v>
      </c>
      <c r="E15" s="15">
        <v>7500</v>
      </c>
      <c r="F15" s="12">
        <v>15</v>
      </c>
      <c r="G15" s="15">
        <f t="shared" si="0"/>
        <v>112500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K16"/>
  <sheetViews>
    <sheetView workbookViewId="0">
      <selection activeCell="C4" sqref="C4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10" bestFit="1" customWidth="1"/>
    <col min="4" max="4" width="15.7109375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12.28515625" bestFit="1" customWidth="1"/>
    <col min="10" max="10" width="13.85546875" bestFit="1" customWidth="1"/>
    <col min="11" max="11" width="12.5703125" bestFit="1" customWidth="1"/>
  </cols>
  <sheetData>
    <row r="1" spans="1:11" ht="15" customHeight="1" x14ac:dyDescent="0.25"/>
    <row r="2" spans="1:11" ht="15" customHeight="1" x14ac:dyDescent="0.25"/>
    <row r="3" spans="1:11" x14ac:dyDescent="0.25">
      <c r="A3" s="17" t="s">
        <v>0</v>
      </c>
      <c r="B3" s="17" t="s">
        <v>1</v>
      </c>
      <c r="C3" s="17" t="s">
        <v>3</v>
      </c>
      <c r="D3" s="17" t="s">
        <v>4</v>
      </c>
      <c r="E3" s="17" t="s">
        <v>5</v>
      </c>
      <c r="F3" s="17" t="s">
        <v>6</v>
      </c>
      <c r="G3" s="17" t="s">
        <v>7</v>
      </c>
      <c r="H3" s="17" t="s">
        <v>33</v>
      </c>
      <c r="I3" s="17" t="s">
        <v>34</v>
      </c>
      <c r="J3" s="17" t="s">
        <v>35</v>
      </c>
      <c r="K3" s="17" t="s">
        <v>36</v>
      </c>
    </row>
    <row r="4" spans="1:11" x14ac:dyDescent="0.25">
      <c r="A4" s="18">
        <v>1</v>
      </c>
      <c r="B4" s="19" t="s">
        <v>8</v>
      </c>
      <c r="C4" s="19" t="s">
        <v>19</v>
      </c>
      <c r="D4" s="19" t="s">
        <v>32</v>
      </c>
      <c r="E4" s="20">
        <v>2000</v>
      </c>
      <c r="F4" s="19">
        <v>20</v>
      </c>
      <c r="G4" s="20">
        <f>E4*F4</f>
        <v>40000</v>
      </c>
      <c r="H4" s="13" t="str">
        <f>IF(F4&gt;21, "Cumplido", "No cumplido")</f>
        <v>No cumplido</v>
      </c>
      <c r="I4" s="13" t="str">
        <f>IF(G4&lt;=40000, "bajo", IF(G4&lt;=100000, "Moderado", "Alto"))</f>
        <v>bajo</v>
      </c>
      <c r="J4" s="13" t="str">
        <f>IF(OR(D4="Secretaria",D4="Gerente"),"Oficina","Almacén")</f>
        <v>Almacén</v>
      </c>
      <c r="K4" s="21">
        <f>IF(AND(J4="Almacén", F4&gt;20), G4+5000, G4)</f>
        <v>40000</v>
      </c>
    </row>
    <row r="5" spans="1:11" x14ac:dyDescent="0.25">
      <c r="A5" s="14">
        <v>2</v>
      </c>
      <c r="B5" s="12" t="s">
        <v>9</v>
      </c>
      <c r="C5" s="12" t="s">
        <v>20</v>
      </c>
      <c r="D5" s="12" t="s">
        <v>28</v>
      </c>
      <c r="E5" s="15">
        <v>2500</v>
      </c>
      <c r="F5" s="12">
        <v>15</v>
      </c>
      <c r="G5" s="15">
        <f t="shared" ref="G5:G15" si="0">E5*F5</f>
        <v>37500</v>
      </c>
      <c r="H5" s="13" t="str">
        <f t="shared" ref="H5:H15" si="1">IF(F5&gt;21, "Cumplido", "No cumplido")</f>
        <v>No cumplido</v>
      </c>
      <c r="I5" s="13" t="str">
        <f t="shared" ref="I5:I15" si="2">IF(G5&lt;=40000, "bajo", IF(G5&lt;=100000, "Moderado", "Alto"))</f>
        <v>bajo</v>
      </c>
      <c r="J5" s="13" t="str">
        <f t="shared" ref="J5:J15" si="3">IF(OR(D5="Secretaria",D5="Gerente"),"Oficina","Almacén")</f>
        <v>Oficina</v>
      </c>
      <c r="K5" s="21">
        <f t="shared" ref="K5:K15" si="4">IF(AND(J5="Almacén", F5&gt;20), G5+5000, G5)</f>
        <v>37500</v>
      </c>
    </row>
    <row r="6" spans="1:11" x14ac:dyDescent="0.25">
      <c r="A6" s="18">
        <v>3</v>
      </c>
      <c r="B6" s="19" t="s">
        <v>10</v>
      </c>
      <c r="C6" s="19" t="s">
        <v>21</v>
      </c>
      <c r="D6" s="19" t="s">
        <v>29</v>
      </c>
      <c r="E6" s="20">
        <v>3000</v>
      </c>
      <c r="F6" s="19">
        <v>30</v>
      </c>
      <c r="G6" s="20">
        <f t="shared" si="0"/>
        <v>90000</v>
      </c>
      <c r="H6" s="13" t="str">
        <f t="shared" si="1"/>
        <v>Cumplido</v>
      </c>
      <c r="I6" s="13" t="str">
        <f t="shared" si="2"/>
        <v>Moderado</v>
      </c>
      <c r="J6" s="13" t="str">
        <f t="shared" si="3"/>
        <v>Almacén</v>
      </c>
      <c r="K6" s="21">
        <f t="shared" si="4"/>
        <v>95000</v>
      </c>
    </row>
    <row r="7" spans="1:11" x14ac:dyDescent="0.25">
      <c r="A7" s="14">
        <v>4</v>
      </c>
      <c r="B7" s="12" t="s">
        <v>11</v>
      </c>
      <c r="C7" s="12" t="s">
        <v>22</v>
      </c>
      <c r="D7" s="12" t="s">
        <v>30</v>
      </c>
      <c r="E7" s="15">
        <v>3500</v>
      </c>
      <c r="F7" s="12">
        <v>31</v>
      </c>
      <c r="G7" s="15">
        <f t="shared" si="0"/>
        <v>108500</v>
      </c>
      <c r="H7" s="13" t="str">
        <f t="shared" si="1"/>
        <v>Cumplido</v>
      </c>
      <c r="I7" s="13" t="str">
        <f t="shared" si="2"/>
        <v>Alto</v>
      </c>
      <c r="J7" s="13" t="str">
        <f t="shared" si="3"/>
        <v>Almacén</v>
      </c>
      <c r="K7" s="21">
        <f t="shared" si="4"/>
        <v>113500</v>
      </c>
    </row>
    <row r="8" spans="1:11" x14ac:dyDescent="0.25">
      <c r="A8" s="18">
        <v>5</v>
      </c>
      <c r="B8" s="19" t="s">
        <v>8</v>
      </c>
      <c r="C8" s="19" t="s">
        <v>23</v>
      </c>
      <c r="D8" s="12" t="s">
        <v>30</v>
      </c>
      <c r="E8" s="20">
        <v>4000</v>
      </c>
      <c r="F8" s="19">
        <v>20</v>
      </c>
      <c r="G8" s="20">
        <f t="shared" si="0"/>
        <v>80000</v>
      </c>
      <c r="H8" s="13" t="str">
        <f t="shared" si="1"/>
        <v>No cumplido</v>
      </c>
      <c r="I8" s="13" t="str">
        <f t="shared" si="2"/>
        <v>Moderado</v>
      </c>
      <c r="J8" s="13" t="str">
        <f t="shared" si="3"/>
        <v>Almacén</v>
      </c>
      <c r="K8" s="21">
        <f t="shared" si="4"/>
        <v>80000</v>
      </c>
    </row>
    <row r="9" spans="1:11" x14ac:dyDescent="0.25">
      <c r="A9" s="14">
        <v>6</v>
      </c>
      <c r="B9" s="12" t="s">
        <v>12</v>
      </c>
      <c r="C9" s="12" t="s">
        <v>24</v>
      </c>
      <c r="D9" s="12" t="s">
        <v>29</v>
      </c>
      <c r="E9" s="15">
        <v>4500</v>
      </c>
      <c r="F9" s="12">
        <v>15</v>
      </c>
      <c r="G9" s="15">
        <f t="shared" si="0"/>
        <v>67500</v>
      </c>
      <c r="H9" s="13" t="str">
        <f t="shared" si="1"/>
        <v>No cumplido</v>
      </c>
      <c r="I9" s="13" t="str">
        <f t="shared" si="2"/>
        <v>Moderado</v>
      </c>
      <c r="J9" s="13" t="str">
        <f t="shared" si="3"/>
        <v>Almacén</v>
      </c>
      <c r="K9" s="21">
        <f t="shared" si="4"/>
        <v>67500</v>
      </c>
    </row>
    <row r="10" spans="1:11" x14ac:dyDescent="0.25">
      <c r="A10" s="18">
        <v>7</v>
      </c>
      <c r="B10" s="19" t="s">
        <v>13</v>
      </c>
      <c r="C10" s="19" t="s">
        <v>24</v>
      </c>
      <c r="D10" s="19" t="s">
        <v>32</v>
      </c>
      <c r="E10" s="20">
        <v>5000</v>
      </c>
      <c r="F10" s="19">
        <v>14</v>
      </c>
      <c r="G10" s="20">
        <f t="shared" si="0"/>
        <v>70000</v>
      </c>
      <c r="H10" s="13" t="str">
        <f t="shared" si="1"/>
        <v>No cumplido</v>
      </c>
      <c r="I10" s="13" t="str">
        <f t="shared" si="2"/>
        <v>Moderado</v>
      </c>
      <c r="J10" s="13" t="str">
        <f t="shared" si="3"/>
        <v>Almacén</v>
      </c>
      <c r="K10" s="21">
        <f t="shared" si="4"/>
        <v>70000</v>
      </c>
    </row>
    <row r="11" spans="1:11" x14ac:dyDescent="0.25">
      <c r="A11" s="14">
        <v>8</v>
      </c>
      <c r="B11" s="12" t="s">
        <v>14</v>
      </c>
      <c r="C11" s="12" t="s">
        <v>25</v>
      </c>
      <c r="D11" s="12" t="s">
        <v>29</v>
      </c>
      <c r="E11" s="15">
        <v>5500</v>
      </c>
      <c r="F11" s="12">
        <v>7</v>
      </c>
      <c r="G11" s="15">
        <f t="shared" si="0"/>
        <v>38500</v>
      </c>
      <c r="H11" s="13" t="str">
        <f t="shared" si="1"/>
        <v>No cumplido</v>
      </c>
      <c r="I11" s="13" t="str">
        <f t="shared" si="2"/>
        <v>bajo</v>
      </c>
      <c r="J11" s="13" t="str">
        <f t="shared" si="3"/>
        <v>Almacén</v>
      </c>
      <c r="K11" s="21">
        <f t="shared" si="4"/>
        <v>38500</v>
      </c>
    </row>
    <row r="12" spans="1:11" x14ac:dyDescent="0.25">
      <c r="A12" s="18">
        <v>9</v>
      </c>
      <c r="B12" s="19" t="s">
        <v>15</v>
      </c>
      <c r="C12" s="19" t="s">
        <v>26</v>
      </c>
      <c r="D12" s="19" t="s">
        <v>28</v>
      </c>
      <c r="E12" s="20">
        <v>6000</v>
      </c>
      <c r="F12" s="19">
        <v>18</v>
      </c>
      <c r="G12" s="20">
        <f t="shared" si="0"/>
        <v>108000</v>
      </c>
      <c r="H12" s="13" t="str">
        <f t="shared" si="1"/>
        <v>No cumplido</v>
      </c>
      <c r="I12" s="13" t="str">
        <f t="shared" si="2"/>
        <v>Alto</v>
      </c>
      <c r="J12" s="13" t="str">
        <f t="shared" si="3"/>
        <v>Oficina</v>
      </c>
      <c r="K12" s="21">
        <f t="shared" si="4"/>
        <v>108000</v>
      </c>
    </row>
    <row r="13" spans="1:11" x14ac:dyDescent="0.25">
      <c r="A13" s="14">
        <v>10</v>
      </c>
      <c r="B13" s="12" t="s">
        <v>16</v>
      </c>
      <c r="C13" s="12" t="s">
        <v>27</v>
      </c>
      <c r="D13" s="12" t="s">
        <v>30</v>
      </c>
      <c r="E13" s="15">
        <v>6500</v>
      </c>
      <c r="F13" s="12">
        <v>24</v>
      </c>
      <c r="G13" s="15">
        <f t="shared" si="0"/>
        <v>156000</v>
      </c>
      <c r="H13" s="13" t="str">
        <f t="shared" si="1"/>
        <v>Cumplido</v>
      </c>
      <c r="I13" s="13" t="str">
        <f t="shared" si="2"/>
        <v>Alto</v>
      </c>
      <c r="J13" s="13" t="str">
        <f t="shared" si="3"/>
        <v>Almacén</v>
      </c>
      <c r="K13" s="21">
        <f t="shared" si="4"/>
        <v>161000</v>
      </c>
    </row>
    <row r="14" spans="1:11" x14ac:dyDescent="0.25">
      <c r="A14" s="18">
        <v>11</v>
      </c>
      <c r="B14" s="19" t="s">
        <v>17</v>
      </c>
      <c r="C14" s="19" t="s">
        <v>27</v>
      </c>
      <c r="D14" s="19" t="s">
        <v>31</v>
      </c>
      <c r="E14" s="20">
        <v>7000</v>
      </c>
      <c r="F14" s="19">
        <v>31</v>
      </c>
      <c r="G14" s="20">
        <f t="shared" si="0"/>
        <v>217000</v>
      </c>
      <c r="H14" s="13" t="str">
        <f>IF(F14&gt;21, "Cumplido", "No cumplido")</f>
        <v>Cumplido</v>
      </c>
      <c r="I14" s="13" t="str">
        <f t="shared" si="2"/>
        <v>Alto</v>
      </c>
      <c r="J14" s="13" t="str">
        <f t="shared" si="3"/>
        <v>Oficina</v>
      </c>
      <c r="K14" s="21">
        <f t="shared" si="4"/>
        <v>217000</v>
      </c>
    </row>
    <row r="15" spans="1:11" x14ac:dyDescent="0.25">
      <c r="A15" s="14">
        <v>12</v>
      </c>
      <c r="B15" s="12" t="s">
        <v>18</v>
      </c>
      <c r="C15" s="12" t="s">
        <v>25</v>
      </c>
      <c r="D15" s="12" t="s">
        <v>29</v>
      </c>
      <c r="E15" s="15">
        <v>7500</v>
      </c>
      <c r="F15" s="12">
        <v>15</v>
      </c>
      <c r="G15" s="15">
        <f t="shared" si="0"/>
        <v>112500</v>
      </c>
      <c r="H15" s="13" t="str">
        <f t="shared" si="1"/>
        <v>No cumplido</v>
      </c>
      <c r="I15" s="13" t="str">
        <f t="shared" si="2"/>
        <v>Alto</v>
      </c>
      <c r="J15" s="13" t="str">
        <f t="shared" si="3"/>
        <v>Almacén</v>
      </c>
      <c r="K15" s="21">
        <f t="shared" si="4"/>
        <v>112500</v>
      </c>
    </row>
    <row r="16" spans="1:11" x14ac:dyDescent="0.25">
      <c r="J16" s="17" t="s">
        <v>2</v>
      </c>
      <c r="K16" s="22">
        <f>SUM(K4:K15)</f>
        <v>1140500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Presentación</vt:lpstr>
      <vt:lpstr>Ejercicio</vt:lpstr>
      <vt:lpstr>Solución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2023-03-16T14:50:08Z</dcterms:created>
  <dcterms:modified xsi:type="dcterms:W3CDTF">2023-03-17T14:33:02Z</dcterms:modified>
</cp:coreProperties>
</file>