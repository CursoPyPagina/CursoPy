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OneDrive\Documentos\Programación\Excel\CursoBasico\Tareas\"/>
    </mc:Choice>
  </mc:AlternateContent>
  <bookViews>
    <workbookView xWindow="0" yWindow="0" windowWidth="15360" windowHeight="7755" activeTab="2"/>
  </bookViews>
  <sheets>
    <sheet name="Presentación" sheetId="3" r:id="rId1"/>
    <sheet name="Ejercicio" sheetId="2" r:id="rId2"/>
    <sheet name="Datos" sheetId="1" r:id="rId3"/>
    <sheet name="Solución" sheetId="4" state="hidden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4" l="1"/>
  <c r="M9" i="4"/>
  <c r="K9" i="4"/>
  <c r="B2" i="4" l="1"/>
  <c r="O9" i="4"/>
  <c r="J9" i="4"/>
  <c r="B3" i="4"/>
  <c r="C3" i="4"/>
  <c r="D3" i="4"/>
  <c r="E3" i="4"/>
  <c r="C2" i="4"/>
  <c r="D2" i="4"/>
  <c r="E2" i="4"/>
  <c r="G3" i="4" l="1"/>
  <c r="G2" i="4" l="1"/>
  <c r="G4" i="4" s="1"/>
  <c r="G5" i="2" l="1"/>
</calcChain>
</file>

<file path=xl/sharedStrings.xml><?xml version="1.0" encoding="utf-8"?>
<sst xmlns="http://schemas.openxmlformats.org/spreadsheetml/2006/main" count="65" uniqueCount="34">
  <si>
    <t>ID</t>
  </si>
  <si>
    <t>Nombre</t>
  </si>
  <si>
    <t>Apellido</t>
  </si>
  <si>
    <t>Puesto</t>
  </si>
  <si>
    <t>Salario base</t>
  </si>
  <si>
    <t>Días trabajados</t>
  </si>
  <si>
    <t>Salario total</t>
  </si>
  <si>
    <t>Luis</t>
  </si>
  <si>
    <t>Ana</t>
  </si>
  <si>
    <t>Pedro</t>
  </si>
  <si>
    <t>Jorge</t>
  </si>
  <si>
    <t>Kendral</t>
  </si>
  <si>
    <t>José</t>
  </si>
  <si>
    <t>Alex</t>
  </si>
  <si>
    <t>Danna</t>
  </si>
  <si>
    <t>Alexa</t>
  </si>
  <si>
    <t>Andrea</t>
  </si>
  <si>
    <t>Lola</t>
  </si>
  <si>
    <t>Apaez</t>
  </si>
  <si>
    <t>Alvarez</t>
  </si>
  <si>
    <t>Sanchez</t>
  </si>
  <si>
    <t>Ramirez</t>
  </si>
  <si>
    <t>Lopez</t>
  </si>
  <si>
    <t>Perez</t>
  </si>
  <si>
    <t>Smith</t>
  </si>
  <si>
    <t>Santander</t>
  </si>
  <si>
    <t>Plata</t>
  </si>
  <si>
    <t>Secretario</t>
  </si>
  <si>
    <t>Secretaria</t>
  </si>
  <si>
    <t>Ingeniero</t>
  </si>
  <si>
    <t>Auxiliar</t>
  </si>
  <si>
    <t>Docente</t>
  </si>
  <si>
    <t>Total</t>
  </si>
  <si>
    <t>Tabla con la información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</si>
</sst>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164" fontId="0" fillId="0" borderId="2" xfId="1" applyNumberFormat="1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2" xfId="0" applyFill="1" applyBorder="1"/>
    <xf numFmtId="164" fontId="0" fillId="2" borderId="2" xfId="1" applyNumberFormat="1" applyFont="1" applyFill="1" applyBorder="1"/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164" fontId="0" fillId="3" borderId="2" xfId="1" applyNumberFormat="1" applyFont="1" applyFill="1" applyBorder="1" applyAlignment="1">
      <alignment horizontal="center"/>
    </xf>
    <xf numFmtId="44" fontId="0" fillId="3" borderId="2" xfId="1" applyFont="1" applyFill="1" applyBorder="1" applyAlignment="1">
      <alignment horizontal="center"/>
    </xf>
    <xf numFmtId="44" fontId="0" fillId="0" borderId="2" xfId="1" applyFont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3" borderId="3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3" borderId="4" xfId="0" applyFill="1" applyBorder="1"/>
    <xf numFmtId="0" fontId="4" fillId="0" borderId="0" xfId="0" applyFont="1"/>
    <xf numFmtId="0" fontId="0" fillId="3" borderId="2" xfId="0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2" borderId="2" xfId="0" applyFill="1" applyBorder="1" applyProtection="1">
      <protection locked="0"/>
    </xf>
    <xf numFmtId="164" fontId="0" fillId="3" borderId="2" xfId="1" applyNumberFormat="1" applyFont="1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164" fontId="0" fillId="2" borderId="2" xfId="1" applyNumberFormat="1" applyFont="1" applyFill="1" applyBorder="1" applyProtection="1"/>
    <xf numFmtId="0" fontId="0" fillId="0" borderId="2" xfId="0" applyBorder="1" applyAlignment="1" applyProtection="1">
      <alignment horizontal="center"/>
      <protection locked="0"/>
    </xf>
    <xf numFmtId="0" fontId="3" fillId="4" borderId="2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57150</xdr:rowOff>
    </xdr:from>
    <xdr:to>
      <xdr:col>2</xdr:col>
      <xdr:colOff>295275</xdr:colOff>
      <xdr:row>5</xdr:row>
      <xdr:rowOff>114300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247650"/>
          <a:ext cx="819150" cy="819150"/>
        </a:xfrm>
        <a:prstGeom prst="rect">
          <a:avLst/>
        </a:prstGeom>
      </xdr:spPr>
    </xdr:pic>
    <xdr:clientData/>
  </xdr:twoCellAnchor>
  <xdr:twoCellAnchor>
    <xdr:from>
      <xdr:col>2</xdr:col>
      <xdr:colOff>476249</xdr:colOff>
      <xdr:row>1</xdr:row>
      <xdr:rowOff>180976</xdr:rowOff>
    </xdr:from>
    <xdr:to>
      <xdr:col>9</xdr:col>
      <xdr:colOff>542924</xdr:colOff>
      <xdr:row>9</xdr:row>
      <xdr:rowOff>57150</xdr:rowOff>
    </xdr:to>
    <xdr:sp macro="" textlink="">
      <xdr:nvSpPr>
        <xdr:cNvPr id="3" name="CuadroTexto 2"/>
        <xdr:cNvSpPr txBox="1"/>
      </xdr:nvSpPr>
      <xdr:spPr>
        <a:xfrm>
          <a:off x="2000249" y="371476"/>
          <a:ext cx="5400675" cy="1400174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Cursos PyM</a:t>
          </a:r>
        </a:p>
        <a:p>
          <a:pPr algn="ctr"/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 de Excel:</a:t>
          </a:r>
          <a:r>
            <a:rPr lang="es-MX" sz="1100" b="1" i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</a:t>
          </a:r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básico a intermedio</a:t>
          </a:r>
        </a:p>
        <a:p>
          <a:pPr algn="ctr"/>
          <a:endParaRPr lang="es-MX" sz="1100" b="1" i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Autor: Luis Fernando Apáez</a:t>
          </a: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Marzo 2023</a:t>
          </a:r>
        </a:p>
      </xdr:txBody>
    </xdr:sp>
    <xdr:clientData/>
  </xdr:twoCellAnchor>
  <xdr:twoCellAnchor>
    <xdr:from>
      <xdr:col>0</xdr:col>
      <xdr:colOff>38099</xdr:colOff>
      <xdr:row>11</xdr:row>
      <xdr:rowOff>171449</xdr:rowOff>
    </xdr:from>
    <xdr:to>
      <xdr:col>9</xdr:col>
      <xdr:colOff>600074</xdr:colOff>
      <xdr:row>33</xdr:row>
      <xdr:rowOff>47624</xdr:rowOff>
    </xdr:to>
    <xdr:sp macro="" textlink="">
      <xdr:nvSpPr>
        <xdr:cNvPr id="4" name="CuadroTexto 3"/>
        <xdr:cNvSpPr txBox="1"/>
      </xdr:nvSpPr>
      <xdr:spPr>
        <a:xfrm>
          <a:off x="38099" y="2266949"/>
          <a:ext cx="7419975" cy="406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Instrucciones: </a:t>
          </a:r>
          <a:r>
            <a:rPr lang="es-MX" sz="1200" b="0"/>
            <a:t>De</a:t>
          </a:r>
          <a:r>
            <a:rPr lang="es-MX" sz="1200" b="0" baseline="0"/>
            <a:t> acuerdo a los ejercicios que mencionamos líneas abajo, escribe la correspondiente solución en la hoja </a:t>
          </a:r>
          <a:r>
            <a:rPr lang="es-MX" sz="1200" b="1" baseline="0"/>
            <a:t>Ejercicio</a:t>
          </a:r>
          <a:r>
            <a:rPr lang="es-MX" sz="1200" b="0" baseline="0"/>
            <a:t>.</a:t>
          </a:r>
        </a:p>
        <a:p>
          <a:r>
            <a:rPr lang="es-MX" sz="1200" b="0" baseline="0"/>
            <a:t>Ejercicios:</a:t>
          </a:r>
        </a:p>
        <a:p>
          <a:r>
            <a:rPr lang="es-MX" sz="1200" b="0" baseline="0"/>
            <a:t>1. En la columna </a:t>
          </a:r>
          <a:r>
            <a:rPr lang="es-MX" sz="1200" b="0" i="1" baseline="0"/>
            <a:t>ID de </a:t>
          </a:r>
          <a:r>
            <a:rPr lang="es-MX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tabla de la hoja 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Ejercicio </a:t>
          </a:r>
          <a:r>
            <a:rPr lang="es-MX" sz="1200" b="0" i="0" baseline="0"/>
            <a:t>crea una lista desplegable como los valores del </a:t>
          </a:r>
          <a:r>
            <a:rPr lang="es-MX" sz="1200" b="0" i="1" baseline="0"/>
            <a:t>ID </a:t>
          </a:r>
          <a:r>
            <a:rPr lang="es-MX" sz="1200" b="0" i="0" baseline="0"/>
            <a:t>de </a:t>
          </a:r>
          <a:r>
            <a:rPr lang="es-MX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tabla de la hoja 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Datos.</a:t>
          </a:r>
          <a:endParaRPr lang="es-MX" sz="1200" b="0" baseline="0"/>
        </a:p>
        <a:p>
          <a:r>
            <a:rPr lang="es-MX" sz="1200" b="0" baseline="0"/>
            <a:t>2.  Utilizando la tabla de la hoja </a:t>
          </a:r>
          <a:r>
            <a:rPr lang="es-MX" sz="1200" b="1" i="0" baseline="0"/>
            <a:t>Ejercicio</a:t>
          </a:r>
          <a:r>
            <a:rPr lang="es-MX" sz="1200" b="0" i="0" baseline="0"/>
            <a:t>, utiliza la función BuscarV de modo que, al seleccionar un </a:t>
          </a:r>
          <a:r>
            <a:rPr lang="es-MX" sz="1200" b="0" i="1" baseline="0"/>
            <a:t>ID</a:t>
          </a:r>
          <a:r>
            <a:rPr lang="es-MX" sz="1200" b="0" i="0" baseline="0"/>
            <a:t> se muestre la información correspondiente a las columnas: </a:t>
          </a:r>
          <a:r>
            <a:rPr lang="es-MX" sz="1200" b="0" i="1" baseline="0"/>
            <a:t>Nombre, Apellido, Puesto </a:t>
          </a:r>
          <a:r>
            <a:rPr lang="es-MX" sz="1200" b="0" i="0" baseline="0"/>
            <a:t>y </a:t>
          </a:r>
          <a:r>
            <a:rPr lang="es-MX" sz="1200" b="0" i="1" baseline="0"/>
            <a:t>Salario base.</a:t>
          </a:r>
          <a:r>
            <a:rPr lang="es-MX" sz="1200" b="1" i="0" baseline="0"/>
            <a:t> </a:t>
          </a:r>
        </a:p>
        <a:p>
          <a:r>
            <a:rPr lang="es-MX" sz="1200" b="0" i="0" baseline="0">
              <a:effectLst/>
            </a:rPr>
            <a:t>3. Rellena a tu gusto los valores de la columna </a:t>
          </a:r>
          <a:r>
            <a:rPr lang="es-MX" sz="1200" b="0" i="1" baseline="0">
              <a:effectLst/>
            </a:rPr>
            <a:t>Días trabajados</a:t>
          </a:r>
          <a:r>
            <a:rPr lang="es-MX" sz="1200" b="0" i="0" baseline="0">
              <a:effectLst/>
            </a:rPr>
            <a:t> y calcula el total del salario correspondiente en la columna </a:t>
          </a:r>
          <a:r>
            <a:rPr lang="es-MX" sz="1200" b="0" i="1" baseline="0">
              <a:effectLst/>
            </a:rPr>
            <a:t>Salario total. </a:t>
          </a:r>
          <a:r>
            <a:rPr lang="es-MX" sz="1200" b="0" i="0" baseline="0">
              <a:effectLst/>
            </a:rPr>
            <a:t>Deberás tener cuidado debido a que en la columna </a:t>
          </a:r>
          <a:r>
            <a:rPr lang="es-MX" sz="1200" b="0" i="1" baseline="0">
              <a:effectLst/>
            </a:rPr>
            <a:t>Nombre </a:t>
          </a:r>
          <a:r>
            <a:rPr lang="es-MX" sz="1200" b="0" i="0" baseline="0">
              <a:effectLst/>
            </a:rPr>
            <a:t>hay dos personas que se llaman Luis, por lo cual la búsqueda con la función BuscarV podría tener problemas.</a:t>
          </a:r>
        </a:p>
        <a:p>
          <a:r>
            <a:rPr lang="es-MX" sz="1200" b="0" i="0" baseline="0">
              <a:effectLst/>
            </a:rPr>
            <a:t>4. En la hoja </a:t>
          </a:r>
          <a:r>
            <a:rPr lang="es-MX" sz="1200" b="1" i="0" baseline="0">
              <a:effectLst/>
            </a:rPr>
            <a:t>Ejercicio </a:t>
          </a:r>
          <a:r>
            <a:rPr lang="es-MX" sz="1200" b="0" i="0" baseline="0">
              <a:effectLst/>
            </a:rPr>
            <a:t>, en la celda que guarda el </a:t>
          </a:r>
          <a:r>
            <a:rPr lang="es-MX" sz="1200" b="0" i="1" baseline="0">
              <a:effectLst/>
            </a:rPr>
            <a:t>Total, </a:t>
          </a:r>
          <a:r>
            <a:rPr lang="es-MX" sz="1200" b="0" i="0" baseline="0">
              <a:effectLst/>
            </a:rPr>
            <a:t>implementa un formato condicional de modo que se muestre verde para un total de 40000, se muestre amarillo para un total de 100000 y se muestre rojo para un total de 150000</a:t>
          </a:r>
        </a:p>
        <a:p>
          <a:r>
            <a:rPr lang="es-MX" sz="1200" b="0" i="0" baseline="0">
              <a:effectLst/>
            </a:rPr>
            <a:t>5. Finalmente, protege la hoja </a:t>
          </a:r>
          <a:r>
            <a:rPr lang="es-MX" sz="1200" b="1" i="0" baseline="0">
              <a:effectLst/>
            </a:rPr>
            <a:t>Ejercicio </a:t>
          </a:r>
          <a:r>
            <a:rPr lang="es-MX" sz="1200" b="0" i="0" baseline="0">
              <a:effectLst/>
            </a:rPr>
            <a:t>y desprotege las columnas </a:t>
          </a:r>
          <a:r>
            <a:rPr lang="es-MX" sz="1200" b="0" i="1" baseline="0">
              <a:effectLst/>
            </a:rPr>
            <a:t>ID </a:t>
          </a:r>
          <a:r>
            <a:rPr lang="es-MX" sz="1200" b="0" i="0" baseline="0">
              <a:effectLst/>
            </a:rPr>
            <a:t>y </a:t>
          </a:r>
          <a:r>
            <a:rPr lang="es-MX" sz="1200" b="0" i="1" baseline="0">
              <a:effectLst/>
            </a:rPr>
            <a:t>Días trabajados.</a:t>
          </a:r>
          <a:endParaRPr lang="es-MX" b="0" i="0">
            <a:effectLst/>
          </a:endParaRPr>
        </a:p>
        <a:p>
          <a:endParaRPr lang="es-MX" sz="1100" b="1" i="1" u="sng"/>
        </a:p>
      </xdr:txBody>
    </xdr:sp>
    <xdr:clientData/>
  </xdr:twoCellAnchor>
  <xdr:twoCellAnchor editAs="oneCell">
    <xdr:from>
      <xdr:col>10</xdr:col>
      <xdr:colOff>123825</xdr:colOff>
      <xdr:row>1</xdr:row>
      <xdr:rowOff>9525</xdr:rowOff>
    </xdr:from>
    <xdr:to>
      <xdr:col>11</xdr:col>
      <xdr:colOff>190498</xdr:colOff>
      <xdr:row>5</xdr:row>
      <xdr:rowOff>76198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200025"/>
          <a:ext cx="828673" cy="828673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12</xdr:row>
      <xdr:rowOff>95250</xdr:rowOff>
    </xdr:from>
    <xdr:to>
      <xdr:col>10</xdr:col>
      <xdr:colOff>381000</xdr:colOff>
      <xdr:row>14</xdr:row>
      <xdr:rowOff>152400</xdr:rowOff>
    </xdr:to>
    <xdr:sp macro="" textlink="">
      <xdr:nvSpPr>
        <xdr:cNvPr id="6" name="Flecha abajo 5"/>
        <xdr:cNvSpPr/>
      </xdr:nvSpPr>
      <xdr:spPr>
        <a:xfrm>
          <a:off x="7734300" y="23812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15</xdr:row>
      <xdr:rowOff>85725</xdr:rowOff>
    </xdr:from>
    <xdr:to>
      <xdr:col>10</xdr:col>
      <xdr:colOff>390525</xdr:colOff>
      <xdr:row>17</xdr:row>
      <xdr:rowOff>142875</xdr:rowOff>
    </xdr:to>
    <xdr:sp macro="" textlink="">
      <xdr:nvSpPr>
        <xdr:cNvPr id="7" name="Flecha abajo 6"/>
        <xdr:cNvSpPr/>
      </xdr:nvSpPr>
      <xdr:spPr>
        <a:xfrm>
          <a:off x="7743825" y="294322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18</xdr:row>
      <xdr:rowOff>66675</xdr:rowOff>
    </xdr:from>
    <xdr:to>
      <xdr:col>10</xdr:col>
      <xdr:colOff>390525</xdr:colOff>
      <xdr:row>20</xdr:row>
      <xdr:rowOff>123825</xdr:rowOff>
    </xdr:to>
    <xdr:sp macro="" textlink="">
      <xdr:nvSpPr>
        <xdr:cNvPr id="8" name="Flecha abajo 7"/>
        <xdr:cNvSpPr/>
      </xdr:nvSpPr>
      <xdr:spPr>
        <a:xfrm>
          <a:off x="7743825" y="34956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21</xdr:row>
      <xdr:rowOff>38100</xdr:rowOff>
    </xdr:from>
    <xdr:to>
      <xdr:col>10</xdr:col>
      <xdr:colOff>390525</xdr:colOff>
      <xdr:row>23</xdr:row>
      <xdr:rowOff>95250</xdr:rowOff>
    </xdr:to>
    <xdr:sp macro="" textlink="">
      <xdr:nvSpPr>
        <xdr:cNvPr id="9" name="Flecha abajo 8"/>
        <xdr:cNvSpPr/>
      </xdr:nvSpPr>
      <xdr:spPr>
        <a:xfrm>
          <a:off x="7743825" y="40386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24</xdr:row>
      <xdr:rowOff>0</xdr:rowOff>
    </xdr:from>
    <xdr:to>
      <xdr:col>10</xdr:col>
      <xdr:colOff>390525</xdr:colOff>
      <xdr:row>26</xdr:row>
      <xdr:rowOff>57150</xdr:rowOff>
    </xdr:to>
    <xdr:sp macro="" textlink="">
      <xdr:nvSpPr>
        <xdr:cNvPr id="10" name="Flecha abajo 9"/>
        <xdr:cNvSpPr/>
      </xdr:nvSpPr>
      <xdr:spPr>
        <a:xfrm>
          <a:off x="7743825" y="45720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133350</xdr:colOff>
      <xdr:row>26</xdr:row>
      <xdr:rowOff>142875</xdr:rowOff>
    </xdr:from>
    <xdr:to>
      <xdr:col>10</xdr:col>
      <xdr:colOff>400050</xdr:colOff>
      <xdr:row>29</xdr:row>
      <xdr:rowOff>9525</xdr:rowOff>
    </xdr:to>
    <xdr:sp macro="" textlink="">
      <xdr:nvSpPr>
        <xdr:cNvPr id="11" name="Flecha abajo 10"/>
        <xdr:cNvSpPr/>
      </xdr:nvSpPr>
      <xdr:spPr>
        <a:xfrm>
          <a:off x="7753350" y="50958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28575</xdr:rowOff>
    </xdr:from>
    <xdr:to>
      <xdr:col>4</xdr:col>
      <xdr:colOff>628650</xdr:colOff>
      <xdr:row>14</xdr:row>
      <xdr:rowOff>152401</xdr:rowOff>
    </xdr:to>
    <xdr:sp macro="" textlink="">
      <xdr:nvSpPr>
        <xdr:cNvPr id="2" name="CuadroTexto 1"/>
        <xdr:cNvSpPr txBox="1"/>
      </xdr:nvSpPr>
      <xdr:spPr>
        <a:xfrm>
          <a:off x="0" y="1171575"/>
          <a:ext cx="2428875" cy="16478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Una vez que termines tu tabla</a:t>
          </a:r>
          <a:r>
            <a:rPr lang="es-MX" sz="1100" baseline="0"/>
            <a:t> puedes comparar tus respuestas con la </a:t>
          </a:r>
          <a:r>
            <a:rPr lang="es-MX" sz="1100" i="1" baseline="0"/>
            <a:t>tabla solución</a:t>
          </a:r>
          <a:r>
            <a:rPr lang="es-MX" sz="1100" i="0" baseline="0"/>
            <a:t>, para ello, pulsa el siguiente botón:</a:t>
          </a:r>
          <a:endParaRPr lang="es-MX" sz="1100" i="1"/>
        </a:p>
      </xdr:txBody>
    </xdr:sp>
    <xdr:clientData/>
  </xdr:twoCellAnchor>
  <xdr:twoCellAnchor editAs="oneCell">
    <xdr:from>
      <xdr:col>1</xdr:col>
      <xdr:colOff>438150</xdr:colOff>
      <xdr:row>9</xdr:row>
      <xdr:rowOff>95251</xdr:rowOff>
    </xdr:from>
    <xdr:to>
      <xdr:col>3</xdr:col>
      <xdr:colOff>276756</xdr:colOff>
      <xdr:row>14</xdr:row>
      <xdr:rowOff>105307</xdr:rowOff>
    </xdr:to>
    <xdr:pic macro="[0]!Mostrar_s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1809751"/>
          <a:ext cx="962556" cy="9625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6</xdr:row>
      <xdr:rowOff>123825</xdr:rowOff>
    </xdr:from>
    <xdr:to>
      <xdr:col>6</xdr:col>
      <xdr:colOff>752475</xdr:colOff>
      <xdr:row>15</xdr:row>
      <xdr:rowOff>123825</xdr:rowOff>
    </xdr:to>
    <xdr:sp macro="" textlink="">
      <xdr:nvSpPr>
        <xdr:cNvPr id="2" name="CuadroTexto 1"/>
        <xdr:cNvSpPr txBox="1"/>
      </xdr:nvSpPr>
      <xdr:spPr>
        <a:xfrm>
          <a:off x="190500" y="1266825"/>
          <a:ext cx="4286250" cy="17145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Debido a que hay dos personas con el</a:t>
          </a:r>
          <a:r>
            <a:rPr lang="es-MX" sz="1100" baseline="0"/>
            <a:t> mismo nombre, si empleamos la función buscarV como vimos en clase, tendremos un error</a:t>
          </a:r>
        </a:p>
        <a:p>
          <a:r>
            <a:rPr lang="es-MX" sz="1100" i="0" baseline="0"/>
            <a:t>Para solucionar dicho error deberemos de fijar el </a:t>
          </a:r>
          <a:r>
            <a:rPr lang="es-MX" sz="1100" b="1" i="0" baseline="0"/>
            <a:t>valor buscado </a:t>
          </a:r>
          <a:r>
            <a:rPr lang="es-MX" sz="1100" b="0" i="0" baseline="0"/>
            <a:t>de la función sobre la columna </a:t>
          </a:r>
          <a:r>
            <a:rPr lang="es-MX" sz="1100" b="0" i="1" baseline="0"/>
            <a:t>ID</a:t>
          </a:r>
          <a:r>
            <a:rPr lang="es-MX" sz="1100" b="0" i="0" baseline="0"/>
            <a:t>, esto es:</a:t>
          </a:r>
        </a:p>
        <a:p>
          <a:r>
            <a:rPr lang="es-MX" sz="1100" i="1"/>
            <a:t>BUSCARV(</a:t>
          </a:r>
          <a:r>
            <a:rPr lang="es-MX" sz="1100" i="1" baseline="0"/>
            <a:t>A2</a:t>
          </a:r>
          <a:r>
            <a:rPr lang="es-MX" sz="1100" i="1"/>
            <a:t>, Datos!$C$5:$G$16,2,FALSO)</a:t>
          </a:r>
        </a:p>
        <a:p>
          <a:r>
            <a:rPr lang="es-MX" sz="1100" i="0"/>
            <a:t>Adicionalmente,</a:t>
          </a:r>
          <a:r>
            <a:rPr lang="es-MX" sz="1100" i="0" baseline="0"/>
            <a:t> lo que iremos variando serán el </a:t>
          </a:r>
          <a:r>
            <a:rPr lang="es-MX" sz="1100" b="1" i="0" baseline="0"/>
            <a:t>indicador de columna</a:t>
          </a:r>
          <a:r>
            <a:rPr lang="es-MX" sz="1100" b="0" i="0" baseline="0"/>
            <a:t>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/>
            <a:t>* Para el nombre: </a:t>
          </a:r>
          <a:r>
            <a:rPr lang="es-MX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BUSCARV(</a:t>
          </a:r>
          <a:r>
            <a:rPr lang="es-MX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A2</a:t>
          </a:r>
          <a:r>
            <a:rPr lang="es-MX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Datos!$C$5:$G$16,2,FALSO)</a:t>
          </a:r>
          <a:endParaRPr lang="es-MX" sz="1100" i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Para el Apellido: </a:t>
          </a:r>
          <a:r>
            <a:rPr lang="es-MX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BUSCARV(</a:t>
          </a:r>
          <a:r>
            <a:rPr lang="es-MX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A2</a:t>
          </a:r>
          <a:r>
            <a:rPr lang="es-MX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Datos!$C$5:$G$16,3,FALSO)</a:t>
          </a:r>
          <a:endParaRPr lang="es-MX">
            <a:effectLst/>
          </a:endParaRPr>
        </a:p>
        <a:p>
          <a:r>
            <a:rPr lang="es-MX" sz="1100" i="0"/>
            <a:t>etcétera.</a:t>
          </a:r>
        </a:p>
        <a:p>
          <a:endParaRPr lang="es-MX" sz="1100" i="1"/>
        </a:p>
      </xdr:txBody>
    </xdr:sp>
    <xdr:clientData/>
  </xdr:twoCellAnchor>
  <xdr:twoCellAnchor>
    <xdr:from>
      <xdr:col>5</xdr:col>
      <xdr:colOff>942975</xdr:colOff>
      <xdr:row>8</xdr:row>
      <xdr:rowOff>57150</xdr:rowOff>
    </xdr:from>
    <xdr:to>
      <xdr:col>7</xdr:col>
      <xdr:colOff>295275</xdr:colOff>
      <xdr:row>8</xdr:row>
      <xdr:rowOff>66675</xdr:rowOff>
    </xdr:to>
    <xdr:cxnSp macro="">
      <xdr:nvCxnSpPr>
        <xdr:cNvPr id="4" name="Conector recto de flecha 3"/>
        <xdr:cNvCxnSpPr/>
      </xdr:nvCxnSpPr>
      <xdr:spPr>
        <a:xfrm flipV="1">
          <a:off x="3705225" y="1581150"/>
          <a:ext cx="10858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M23"/>
  <sheetViews>
    <sheetView showGridLines="0" topLeftCell="A10" workbookViewId="0">
      <selection activeCell="L20" sqref="L20"/>
    </sheetView>
  </sheetViews>
  <sheetFormatPr baseColWidth="10" defaultRowHeight="15" x14ac:dyDescent="0.25"/>
  <sheetData>
    <row r="1" spans="1:13" x14ac:dyDescent="0.25">
      <c r="A1" s="13"/>
      <c r="B1" s="14"/>
      <c r="C1" s="14"/>
      <c r="D1" s="13"/>
      <c r="E1" s="13"/>
      <c r="F1" s="13"/>
      <c r="G1" s="15"/>
      <c r="H1" s="15"/>
      <c r="I1" s="13"/>
      <c r="J1" s="15"/>
      <c r="K1" s="15"/>
      <c r="L1" s="13"/>
      <c r="M1" s="13"/>
    </row>
    <row r="2" spans="1:13" x14ac:dyDescent="0.25">
      <c r="A2" s="13"/>
      <c r="B2" s="14"/>
      <c r="C2" s="14"/>
      <c r="D2" s="16"/>
      <c r="E2" s="16"/>
      <c r="F2" s="13"/>
      <c r="G2" s="15"/>
      <c r="H2" s="15"/>
      <c r="I2" s="13"/>
      <c r="J2" s="15"/>
      <c r="K2" s="15"/>
      <c r="L2" s="13"/>
      <c r="M2" s="17"/>
    </row>
    <row r="3" spans="1:13" x14ac:dyDescent="0.25">
      <c r="A3" s="13"/>
      <c r="B3" s="14"/>
      <c r="C3" s="14"/>
      <c r="J3" s="15"/>
      <c r="K3" s="15"/>
      <c r="L3" s="13"/>
      <c r="M3" s="17"/>
    </row>
    <row r="4" spans="1:13" x14ac:dyDescent="0.25">
      <c r="A4" s="13"/>
      <c r="B4" s="14"/>
      <c r="C4" s="14"/>
      <c r="J4" s="15"/>
      <c r="K4" s="15"/>
      <c r="L4" s="13"/>
      <c r="M4" s="17"/>
    </row>
    <row r="5" spans="1:13" x14ac:dyDescent="0.25">
      <c r="A5" s="13"/>
      <c r="B5" s="14"/>
      <c r="C5" s="14"/>
      <c r="J5" s="15"/>
      <c r="K5" s="15"/>
      <c r="L5" s="13"/>
      <c r="M5" s="17"/>
    </row>
    <row r="6" spans="1:13" x14ac:dyDescent="0.25">
      <c r="A6" s="13"/>
      <c r="B6" s="14"/>
      <c r="C6" s="14"/>
      <c r="J6" s="15"/>
      <c r="K6" s="15"/>
      <c r="L6" s="13"/>
      <c r="M6" s="17"/>
    </row>
    <row r="7" spans="1:13" x14ac:dyDescent="0.25">
      <c r="A7" s="13"/>
      <c r="B7" s="14"/>
      <c r="C7" s="14"/>
      <c r="J7" s="15"/>
      <c r="K7" s="15"/>
      <c r="L7" s="13"/>
      <c r="M7" s="17"/>
    </row>
    <row r="8" spans="1:13" x14ac:dyDescent="0.25">
      <c r="A8" s="18"/>
      <c r="B8" s="14"/>
      <c r="C8" s="14"/>
      <c r="J8" s="15"/>
      <c r="K8" s="15"/>
      <c r="L8" s="19"/>
      <c r="M8" s="17"/>
    </row>
    <row r="9" spans="1:13" x14ac:dyDescent="0.25">
      <c r="A9" s="18"/>
      <c r="B9" s="14"/>
      <c r="C9" s="14"/>
      <c r="J9" s="15"/>
      <c r="K9" s="15"/>
      <c r="L9" s="19"/>
      <c r="M9" s="17"/>
    </row>
    <row r="10" spans="1:13" x14ac:dyDescent="0.25">
      <c r="A10" s="18"/>
      <c r="B10" s="18"/>
      <c r="C10" s="13"/>
      <c r="D10" s="13"/>
      <c r="E10" s="20"/>
      <c r="F10" s="20"/>
      <c r="G10" s="20"/>
      <c r="H10" s="20"/>
      <c r="I10" s="13"/>
      <c r="J10" s="13"/>
      <c r="K10" s="19"/>
      <c r="L10" s="19"/>
      <c r="M10" s="17"/>
    </row>
    <row r="11" spans="1:13" x14ac:dyDescent="0.25">
      <c r="A11" s="18"/>
      <c r="B11" s="18"/>
      <c r="C11" s="13"/>
      <c r="D11" s="13"/>
      <c r="E11" s="20"/>
      <c r="F11" s="20"/>
      <c r="G11" s="20"/>
      <c r="H11" s="20"/>
      <c r="I11" s="13"/>
      <c r="J11" s="13"/>
      <c r="K11" s="19"/>
      <c r="L11" s="19"/>
      <c r="M11" s="2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23" spans="12:12" x14ac:dyDescent="0.25">
      <c r="L23" s="22"/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5"/>
  <sheetViews>
    <sheetView workbookViewId="0">
      <selection activeCell="G11" sqref="G11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8.5703125" bestFit="1" customWidth="1"/>
    <col min="4" max="4" width="7.140625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14.28515625" bestFit="1" customWidth="1"/>
    <col min="9" max="9" width="14.140625" bestFit="1" customWidth="1"/>
  </cols>
  <sheetData>
    <row r="1" spans="1:7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x14ac:dyDescent="0.25">
      <c r="A2" s="9"/>
      <c r="B2" s="9"/>
      <c r="C2" s="9"/>
      <c r="D2" s="9"/>
      <c r="E2" s="9"/>
      <c r="F2" s="9"/>
      <c r="G2" s="11"/>
    </row>
    <row r="3" spans="1:7" x14ac:dyDescent="0.25">
      <c r="A3" s="3"/>
      <c r="B3" s="3"/>
      <c r="C3" s="3"/>
      <c r="D3" s="3"/>
      <c r="E3" s="12"/>
      <c r="F3" s="3"/>
      <c r="G3" s="12"/>
    </row>
    <row r="4" spans="1:7" x14ac:dyDescent="0.25">
      <c r="A4" s="9"/>
      <c r="B4" s="9"/>
      <c r="C4" s="9"/>
      <c r="D4" s="9"/>
      <c r="E4" s="11"/>
      <c r="F4" s="9"/>
      <c r="G4" s="11"/>
    </row>
    <row r="5" spans="1:7" x14ac:dyDescent="0.25">
      <c r="F5" s="6" t="s">
        <v>32</v>
      </c>
      <c r="G5" s="7">
        <f>SUM(G2:G4)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6"/>
  <sheetViews>
    <sheetView tabSelected="1" workbookViewId="0">
      <selection activeCell="E16" sqref="E16"/>
    </sheetView>
  </sheetViews>
  <sheetFormatPr baseColWidth="10" defaultRowHeight="15" x14ac:dyDescent="0.25"/>
  <cols>
    <col min="3" max="3" width="3" bestFit="1" customWidth="1"/>
    <col min="8" max="8" width="14.28515625" bestFit="1" customWidth="1"/>
    <col min="9" max="9" width="14.140625" bestFit="1" customWidth="1"/>
  </cols>
  <sheetData>
    <row r="2" spans="3:7" ht="18" x14ac:dyDescent="0.25">
      <c r="C2" s="30" t="s">
        <v>33</v>
      </c>
      <c r="D2" s="30"/>
      <c r="E2" s="30"/>
      <c r="F2" s="30"/>
      <c r="G2" s="30"/>
    </row>
    <row r="4" spans="3:7" x14ac:dyDescent="0.25">
      <c r="C4" s="5" t="s">
        <v>0</v>
      </c>
      <c r="D4" s="5" t="s">
        <v>1</v>
      </c>
      <c r="E4" s="5" t="s">
        <v>2</v>
      </c>
      <c r="F4" s="5" t="s">
        <v>3</v>
      </c>
      <c r="G4" s="5" t="s">
        <v>4</v>
      </c>
    </row>
    <row r="5" spans="3:7" x14ac:dyDescent="0.25">
      <c r="C5" s="8">
        <v>1</v>
      </c>
      <c r="D5" s="9" t="s">
        <v>7</v>
      </c>
      <c r="E5" s="9" t="s">
        <v>18</v>
      </c>
      <c r="F5" s="9" t="s">
        <v>27</v>
      </c>
      <c r="G5" s="10">
        <v>2000</v>
      </c>
    </row>
    <row r="6" spans="3:7" x14ac:dyDescent="0.25">
      <c r="C6" s="2">
        <v>2</v>
      </c>
      <c r="D6" s="3" t="s">
        <v>8</v>
      </c>
      <c r="E6" s="3" t="s">
        <v>19</v>
      </c>
      <c r="F6" s="3" t="s">
        <v>28</v>
      </c>
      <c r="G6" s="4">
        <v>2500</v>
      </c>
    </row>
    <row r="7" spans="3:7" x14ac:dyDescent="0.25">
      <c r="C7" s="8">
        <v>3</v>
      </c>
      <c r="D7" s="9" t="s">
        <v>9</v>
      </c>
      <c r="E7" s="9" t="s">
        <v>20</v>
      </c>
      <c r="F7" s="9" t="s">
        <v>29</v>
      </c>
      <c r="G7" s="10">
        <v>3000</v>
      </c>
    </row>
    <row r="8" spans="3:7" x14ac:dyDescent="0.25">
      <c r="C8" s="2">
        <v>4</v>
      </c>
      <c r="D8" s="3" t="s">
        <v>10</v>
      </c>
      <c r="E8" s="3" t="s">
        <v>21</v>
      </c>
      <c r="F8" s="3" t="s">
        <v>30</v>
      </c>
      <c r="G8" s="4">
        <v>3500</v>
      </c>
    </row>
    <row r="9" spans="3:7" x14ac:dyDescent="0.25">
      <c r="C9" s="8">
        <v>5</v>
      </c>
      <c r="D9" s="9" t="s">
        <v>7</v>
      </c>
      <c r="E9" s="9" t="s">
        <v>22</v>
      </c>
      <c r="F9" s="9" t="s">
        <v>30</v>
      </c>
      <c r="G9" s="10">
        <v>4000</v>
      </c>
    </row>
    <row r="10" spans="3:7" x14ac:dyDescent="0.25">
      <c r="C10" s="2">
        <v>6</v>
      </c>
      <c r="D10" s="3" t="s">
        <v>11</v>
      </c>
      <c r="E10" s="3" t="s">
        <v>23</v>
      </c>
      <c r="F10" s="3" t="s">
        <v>29</v>
      </c>
      <c r="G10" s="4">
        <v>4500</v>
      </c>
    </row>
    <row r="11" spans="3:7" x14ac:dyDescent="0.25">
      <c r="C11" s="8">
        <v>7</v>
      </c>
      <c r="D11" s="9" t="s">
        <v>12</v>
      </c>
      <c r="E11" s="9" t="s">
        <v>23</v>
      </c>
      <c r="F11" s="9" t="s">
        <v>31</v>
      </c>
      <c r="G11" s="10">
        <v>5000</v>
      </c>
    </row>
    <row r="12" spans="3:7" x14ac:dyDescent="0.25">
      <c r="C12" s="2">
        <v>8</v>
      </c>
      <c r="D12" s="3" t="s">
        <v>13</v>
      </c>
      <c r="E12" s="3" t="s">
        <v>24</v>
      </c>
      <c r="F12" s="3" t="s">
        <v>29</v>
      </c>
      <c r="G12" s="4">
        <v>5500</v>
      </c>
    </row>
    <row r="13" spans="3:7" x14ac:dyDescent="0.25">
      <c r="C13" s="8">
        <v>9</v>
      </c>
      <c r="D13" s="9" t="s">
        <v>14</v>
      </c>
      <c r="E13" s="9" t="s">
        <v>25</v>
      </c>
      <c r="F13" s="9" t="s">
        <v>31</v>
      </c>
      <c r="G13" s="10">
        <v>6000</v>
      </c>
    </row>
    <row r="14" spans="3:7" x14ac:dyDescent="0.25">
      <c r="C14" s="2">
        <v>10</v>
      </c>
      <c r="D14" s="3" t="s">
        <v>15</v>
      </c>
      <c r="E14" s="3" t="s">
        <v>26</v>
      </c>
      <c r="F14" s="3" t="s">
        <v>30</v>
      </c>
      <c r="G14" s="4">
        <v>6500</v>
      </c>
    </row>
    <row r="15" spans="3:7" x14ac:dyDescent="0.25">
      <c r="C15" s="8">
        <v>11</v>
      </c>
      <c r="D15" s="9" t="s">
        <v>16</v>
      </c>
      <c r="E15" s="9" t="s">
        <v>26</v>
      </c>
      <c r="F15" s="9" t="s">
        <v>31</v>
      </c>
      <c r="G15" s="10">
        <v>7000</v>
      </c>
    </row>
    <row r="16" spans="3:7" x14ac:dyDescent="0.25">
      <c r="C16" s="2">
        <v>12</v>
      </c>
      <c r="D16" s="3" t="s">
        <v>17</v>
      </c>
      <c r="E16" s="3" t="s">
        <v>24</v>
      </c>
      <c r="F16" s="3" t="s">
        <v>29</v>
      </c>
      <c r="G16" s="4">
        <v>7500</v>
      </c>
    </row>
  </sheetData>
  <sheetProtection sheet="1" objects="1" scenarios="1"/>
  <mergeCells count="1"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9"/>
  <sheetViews>
    <sheetView workbookViewId="0">
      <selection activeCell="M14" sqref="M14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8.5703125" bestFit="1" customWidth="1"/>
    <col min="4" max="4" width="10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5.5703125" customWidth="1"/>
    <col min="9" max="9" width="2.85546875" bestFit="1" customWidth="1"/>
    <col min="10" max="10" width="8.28515625" bestFit="1" customWidth="1"/>
    <col min="11" max="11" width="8.5703125" bestFit="1" customWidth="1"/>
    <col min="12" max="12" width="7.85546875" bestFit="1" customWidth="1"/>
    <col min="13" max="13" width="11.5703125" bestFit="1" customWidth="1"/>
    <col min="14" max="14" width="14.42578125" bestFit="1" customWidth="1"/>
    <col min="15" max="15" width="11.5703125" bestFit="1" customWidth="1"/>
  </cols>
  <sheetData>
    <row r="1" spans="1:15" x14ac:dyDescent="0.25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</row>
    <row r="2" spans="1:15" x14ac:dyDescent="0.25">
      <c r="A2" s="23">
        <v>5</v>
      </c>
      <c r="B2" s="27" t="str">
        <f>VLOOKUP(A2, Datos!$C$5:$G$16,2,FALSE)</f>
        <v>Luis</v>
      </c>
      <c r="C2" s="27" t="str">
        <f>VLOOKUP(A2, Datos!$C$5:$G$16,3,FALSE)</f>
        <v>Lopez</v>
      </c>
      <c r="D2" s="27" t="str">
        <f>VLOOKUP(A2, Datos!$C$5:$G$16,4,FALSE)</f>
        <v>Auxiliar</v>
      </c>
      <c r="E2" s="26">
        <f>VLOOKUP(A2, Datos!$C$5:$G$16,5,FALSE)</f>
        <v>4000</v>
      </c>
      <c r="F2" s="23">
        <v>15</v>
      </c>
      <c r="G2" s="26">
        <f>E2*F2</f>
        <v>60000</v>
      </c>
    </row>
    <row r="3" spans="1:15" x14ac:dyDescent="0.25">
      <c r="A3" s="23">
        <v>1</v>
      </c>
      <c r="B3" s="27" t="str">
        <f>VLOOKUP(A3, Datos!$C$5:$G$16,2,FALSE)</f>
        <v>Luis</v>
      </c>
      <c r="C3" s="27" t="str">
        <f>VLOOKUP(A3, Datos!$C$5:$G$16,3,FALSE)</f>
        <v>Apaez</v>
      </c>
      <c r="D3" s="27" t="str">
        <f>VLOOKUP(A3, Datos!$C$5:$G$16,4,FALSE)</f>
        <v>Secretario</v>
      </c>
      <c r="E3" s="26">
        <f>VLOOKUP(A3, Datos!$C$5:$G$16,5,FALSE)</f>
        <v>2000</v>
      </c>
      <c r="F3" s="29">
        <v>1</v>
      </c>
      <c r="G3" s="26">
        <f>E3*F3</f>
        <v>2000</v>
      </c>
    </row>
    <row r="4" spans="1:15" x14ac:dyDescent="0.25">
      <c r="F4" s="25" t="s">
        <v>32</v>
      </c>
      <c r="G4" s="28">
        <f>SUM(G2:G3)</f>
        <v>62000</v>
      </c>
    </row>
    <row r="8" spans="1:15" x14ac:dyDescent="0.25">
      <c r="I8" s="24" t="s">
        <v>0</v>
      </c>
      <c r="J8" s="24" t="s">
        <v>1</v>
      </c>
      <c r="K8" s="24" t="s">
        <v>2</v>
      </c>
      <c r="L8" s="24" t="s">
        <v>3</v>
      </c>
      <c r="M8" s="24" t="s">
        <v>4</v>
      </c>
      <c r="N8" s="24" t="s">
        <v>5</v>
      </c>
      <c r="O8" s="24" t="s">
        <v>6</v>
      </c>
    </row>
    <row r="9" spans="1:15" x14ac:dyDescent="0.25">
      <c r="I9" s="23">
        <v>5</v>
      </c>
      <c r="J9" s="27" t="str">
        <f>VLOOKUP(I9,Datos!$C$5:$G$16,2,FALSE)</f>
        <v>Luis</v>
      </c>
      <c r="K9" s="27" t="e">
        <f>VLOOKUP(J9,Datos!C5:G16,2,FALSE)</f>
        <v>#N/A</v>
      </c>
      <c r="L9" s="27" t="e">
        <f>VLOOKUP(K9,Datos!D5:H16,2,FALSE)</f>
        <v>#N/A</v>
      </c>
      <c r="M9" s="27" t="e">
        <f>VLOOKUP(L9,Datos!E5:I16,2,FALSE)</f>
        <v>#N/A</v>
      </c>
      <c r="N9" s="23">
        <v>15</v>
      </c>
      <c r="O9" s="26" t="e">
        <f>M9*N9</f>
        <v>#N/A</v>
      </c>
    </row>
  </sheetData>
  <sheetProtection sheet="1" objects="1" scenarios="1"/>
  <conditionalFormatting sqref="G4">
    <cfRule type="colorScale" priority="1">
      <colorScale>
        <cfvo type="num" val="50000"/>
        <cfvo type="num" val="100000"/>
        <cfvo type="num" val="150000"/>
        <color rgb="FF00B050"/>
        <color rgb="FFFFEB84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Datos!$C$5:$C$16</xm:f>
          </x14:formula1>
          <xm:sqref>A2:A3 I9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Presentación</vt:lpstr>
      <vt:lpstr>Ejercicio</vt:lpstr>
      <vt:lpstr>Datos</vt:lpstr>
      <vt:lpstr>Solución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2023-03-17T21:17:35Z</dcterms:created>
  <dcterms:modified xsi:type="dcterms:W3CDTF">2023-03-21T21:02:43Z</dcterms:modified>
</cp:coreProperties>
</file>